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M\Desktop\eod_report\wl\"/>
    </mc:Choice>
  </mc:AlternateContent>
  <xr:revisionPtr revIDLastSave="0" documentId="13_ncr:1_{84D7E451-44FA-4DA2-94F0-0852864677C3}" xr6:coauthVersionLast="47" xr6:coauthVersionMax="47" xr10:uidLastSave="{00000000-0000-0000-0000-000000000000}"/>
  <bookViews>
    <workbookView xWindow="5280" yWindow="1485" windowWidth="21600" windowHeight="11415" activeTab="5" xr2:uid="{7FDFF307-0A6B-4DA0-BF80-593A82D7E9A4}"/>
  </bookViews>
  <sheets>
    <sheet name="ACTIVE" sheetId="1" r:id="rId1"/>
    <sheet name="PULLED_OUT" sheetId="2" r:id="rId2"/>
    <sheet name="Sheet2" sheetId="5" r:id="rId3"/>
    <sheet name="DNC" sheetId="3" r:id="rId4"/>
    <sheet name="S1" sheetId="4" r:id="rId5"/>
    <sheet name="OVERALL_CYC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4" l="1"/>
  <c r="B2" i="4"/>
  <c r="B4" i="4"/>
  <c r="B1" i="4"/>
  <c r="B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SP Madrid and Associates</author>
  </authors>
  <commentList>
    <comment ref="K1" authorId="0" shapeId="0" xr:uid="{4C99019B-7F5A-494A-A033-CA03F9DC94DD}">
      <text>
        <r>
          <rPr>
            <b/>
            <sz val="9"/>
            <color indexed="81"/>
            <rFont val="Tahoma"/>
            <family val="2"/>
          </rPr>
          <t>SP Madrid and Associates: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<sst xmlns="http://schemas.openxmlformats.org/spreadsheetml/2006/main" count="206" uniqueCount="90">
  <si>
    <t>CUST_ID</t>
  </si>
  <si>
    <t>CUST_NAME</t>
  </si>
  <si>
    <t>OFC</t>
  </si>
  <si>
    <t>HOME</t>
  </si>
  <si>
    <t>MOBILE_NO</t>
  </si>
  <si>
    <t>OTHER CONTACT</t>
  </si>
  <si>
    <t>TU</t>
  </si>
  <si>
    <t>ADDRESS</t>
  </si>
  <si>
    <t>EMAIL</t>
  </si>
  <si>
    <t>GENDER</t>
  </si>
  <si>
    <t>TCL</t>
  </si>
  <si>
    <t>OB</t>
  </si>
  <si>
    <t>BOS</t>
  </si>
  <si>
    <t>AOD</t>
  </si>
  <si>
    <t>MAD</t>
  </si>
  <si>
    <t>PDA</t>
  </si>
  <si>
    <t>LAST PAYMENT AMOUNT</t>
  </si>
  <si>
    <t>LAST_PAYMENT_DATE</t>
  </si>
  <si>
    <t>DELINQUENCY_STRING</t>
  </si>
  <si>
    <t>ADA_ACCOUNT</t>
  </si>
  <si>
    <t>DEBIT_AMOUNT_PREFERENCE</t>
  </si>
  <si>
    <t>COLLECTION_CYCLE</t>
  </si>
  <si>
    <t>UNIT_CODE</t>
  </si>
  <si>
    <t>RISK</t>
  </si>
  <si>
    <t>AGING</t>
  </si>
  <si>
    <t>HO FLAG</t>
  </si>
  <si>
    <t>BIRTHDATE</t>
  </si>
  <si>
    <t>UNIBANKER</t>
  </si>
  <si>
    <t>TPAP</t>
  </si>
  <si>
    <t>block_code</t>
  </si>
  <si>
    <t>MEMO_LINE</t>
  </si>
  <si>
    <t>D_CUST_OPN</t>
  </si>
  <si>
    <t>AREA CODE</t>
  </si>
  <si>
    <t>PTP DATE</t>
  </si>
  <si>
    <t>CATEGORY/CLASSIF</t>
  </si>
  <si>
    <t>LAST DUE DATE</t>
  </si>
  <si>
    <t>Balance Type</t>
  </si>
  <si>
    <t>PTP AMOUNT</t>
  </si>
  <si>
    <t>CONTACTED BY</t>
  </si>
  <si>
    <t>CLASSIFICATION</t>
  </si>
  <si>
    <t>TPAP DD</t>
  </si>
  <si>
    <t>CLASSIF 2</t>
  </si>
  <si>
    <t>INHOUSE</t>
  </si>
  <si>
    <t>EMAIL NOTI</t>
  </si>
  <si>
    <t>CATEGORY</t>
  </si>
  <si>
    <t>ACTIVE/POUT
CHECKER</t>
  </si>
  <si>
    <t>DNC 
CHECKING</t>
  </si>
  <si>
    <t>PROCESS CHECKING</t>
  </si>
  <si>
    <t>HANDLING</t>
  </si>
  <si>
    <t>STATUS ACTIVE</t>
  </si>
  <si>
    <t>SUB CAMPAIGN</t>
  </si>
  <si>
    <t>CH CODE</t>
  </si>
  <si>
    <t>ENDO DATE</t>
  </si>
  <si>
    <t>BALANCE BRACKET</t>
  </si>
  <si>
    <t>BCRM LAST STATUS</t>
  </si>
  <si>
    <t>BCRM LAST SUBSTAT</t>
  </si>
  <si>
    <t>PULLED OUT DATE</t>
  </si>
  <si>
    <t>PULLED OUT MONTH</t>
  </si>
  <si>
    <t>STATUS PULLED OUT</t>
  </si>
  <si>
    <t>AGENT CODE</t>
  </si>
  <si>
    <t>DAY 1</t>
  </si>
  <si>
    <t>LOG</t>
  </si>
  <si>
    <t>STATUS</t>
  </si>
  <si>
    <t>DO NOT CALL</t>
  </si>
  <si>
    <t>0201001109136797</t>
  </si>
  <si>
    <t>09BPEXC2604-119</t>
  </si>
  <si>
    <t>BPI Cards Xdays_Cycle 09</t>
  </si>
  <si>
    <t>MERLYN ASUCAN SARASPE</t>
  </si>
  <si>
    <t>0201002206155055</t>
  </si>
  <si>
    <t>ROLAND ENRIQUEZ CAM</t>
  </si>
  <si>
    <t>9999999</t>
  </si>
  <si>
    <t>535610363</t>
  </si>
  <si>
    <t>09177958360</t>
  </si>
  <si>
    <t>rolandcam09@gmail.com</t>
  </si>
  <si>
    <t>01/27/2026</t>
  </si>
  <si>
    <t>09</t>
  </si>
  <si>
    <t>MADX32</t>
  </si>
  <si>
    <t>03/30/2026</t>
  </si>
  <si>
    <t>0201002202976066</t>
  </si>
  <si>
    <t>CURED</t>
  </si>
  <si>
    <t>Dec 10 - Jan 05</t>
  </si>
  <si>
    <t>dnc</t>
  </si>
  <si>
    <t>update active</t>
  </si>
  <si>
    <t>1111001100136945</t>
  </si>
  <si>
    <t>pull out &amp; endorse &amp; update active</t>
  </si>
  <si>
    <t>MATCH FOR NEW ENDO</t>
  </si>
  <si>
    <t>ACTIVE</t>
  </si>
  <si>
    <t>CYCLE</t>
  </si>
  <si>
    <t>POUT LOOKUP</t>
  </si>
  <si>
    <t>DNC(Y/N)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</si>
</sst>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9"/>
      <color theme="0"/>
      <name val="Tahoma"/>
      <family val="2"/>
    </font>
    <font>
      <sz val="11"/>
      <color theme="1"/>
      <name val="Arial"/>
      <family val="2"/>
    </font>
    <font>
      <sz val="11"/>
      <color theme="9" tint="-0.499984740745262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A500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4" fillId="3" borderId="0" xfId="0" applyFont="1" applyFill="1" applyAlignment="1">
      <alignment horizontal="center" vertical="center" wrapText="1"/>
    </xf>
    <xf numFmtId="164" fontId="4" fillId="3" borderId="0" xfId="0" applyNumberFormat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4" borderId="0" xfId="1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 wrapText="1"/>
    </xf>
    <xf numFmtId="164" fontId="4" fillId="6" borderId="0" xfId="0" applyNumberFormat="1" applyFont="1" applyFill="1" applyAlignment="1">
      <alignment horizontal="center" vertical="center" wrapText="1"/>
    </xf>
    <xf numFmtId="164" fontId="0" fillId="0" borderId="0" xfId="0" applyNumberFormat="1"/>
    <xf numFmtId="0" fontId="0" fillId="5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5" borderId="0" xfId="0" applyFill="1" applyAlignment="1">
      <alignment horizontal="center"/>
    </xf>
    <xf numFmtId="0" fontId="4" fillId="7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/>
    <xf numFmtId="0" fontId="7" fillId="0" borderId="0" xfId="1" applyFont="1"/>
    <xf numFmtId="164" fontId="0" fillId="0" borderId="0" xfId="0" applyNumberFormat="1" applyAlignment="1">
      <alignment horizontal="center"/>
    </xf>
    <xf numFmtId="0" fontId="0" fillId="8" borderId="0" xfId="0" applyFill="1"/>
    <xf numFmtId="0" fontId="8" fillId="0" borderId="0" xfId="0" applyFont="1"/>
    <xf numFmtId="0" fontId="0" fillId="0" borderId="0" xfId="0" quotePrefix="1"/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5" fillId="11" borderId="0" xfId="0" applyFont="1" applyFill="1" applyAlignment="1">
      <alignment horizontal="center" vertical="center"/>
    </xf>
  </cellXfs>
  <cellStyles count="2">
    <cellStyle name="Normal" xfId="0" builtinId="0"/>
    <cellStyle name="Normal 14" xfId="1" xr:uid="{F36D8ADA-2EFF-4DC3-935D-676BE424F102}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23C2F-F4AD-41B0-9744-F79AEBF98ECB}">
  <dimension ref="A1:BE2"/>
  <sheetViews>
    <sheetView zoomScale="85" zoomScaleNormal="85" workbookViewId="0">
      <selection activeCell="K3" sqref="K3"/>
    </sheetView>
  </sheetViews>
  <sheetFormatPr defaultRowHeight="12.75" x14ac:dyDescent="0.25"/>
  <cols>
    <col min="1" max="1" width="13.28515625" style="5" bestFit="1" customWidth="1"/>
    <col min="2" max="2" width="10.5703125" style="5" bestFit="1" customWidth="1"/>
    <col min="3" max="3" width="20.5703125" style="5" bestFit="1" customWidth="1"/>
    <col min="4" max="4" width="9.7109375" style="5" bestFit="1" customWidth="1"/>
    <col min="5" max="6" width="11.5703125" style="5" bestFit="1" customWidth="1"/>
    <col min="7" max="7" width="9.42578125" style="5" bestFit="1" customWidth="1"/>
    <col min="8" max="8" width="11.7109375" style="5" bestFit="1" customWidth="1"/>
    <col min="9" max="9" width="15.42578125" style="5" bestFit="1" customWidth="1"/>
    <col min="10" max="10" width="14.42578125" style="5" bestFit="1" customWidth="1"/>
    <col min="11" max="11" width="8.140625" style="5" bestFit="1" customWidth="1"/>
    <col min="12" max="12" width="1.85546875" style="8" customWidth="1"/>
    <col min="13" max="13" width="17.5703125" style="5" bestFit="1" customWidth="1"/>
    <col min="14" max="14" width="22.7109375" style="5" bestFit="1" customWidth="1"/>
    <col min="15" max="15" width="8.140625" style="5" bestFit="1" customWidth="1"/>
    <col min="16" max="16" width="10.28515625" style="5" bestFit="1" customWidth="1"/>
    <col min="17" max="17" width="12.28515625" style="5" bestFit="1" customWidth="1"/>
    <col min="18" max="18" width="16.5703125" style="5" bestFit="1" customWidth="1"/>
    <col min="19" max="19" width="3.28515625" style="5" bestFit="1" customWidth="1"/>
    <col min="20" max="20" width="10" style="5" bestFit="1" customWidth="1"/>
    <col min="21" max="21" width="24.7109375" style="5" bestFit="1" customWidth="1"/>
    <col min="22" max="22" width="8.85546875" style="5" bestFit="1" customWidth="1"/>
    <col min="23" max="23" width="4.28515625" style="5" bestFit="1" customWidth="1"/>
    <col min="24" max="26" width="9.28515625" style="5" bestFit="1" customWidth="1"/>
    <col min="27" max="27" width="8.140625" style="5" bestFit="1" customWidth="1"/>
    <col min="28" max="28" width="4.85546875" style="5" bestFit="1" customWidth="1"/>
    <col min="29" max="29" width="24" style="5" bestFit="1" customWidth="1"/>
    <col min="30" max="30" width="21.85546875" style="5" bestFit="1" customWidth="1"/>
    <col min="31" max="31" width="22.28515625" style="5" bestFit="1" customWidth="1"/>
    <col min="32" max="32" width="14.85546875" style="5" bestFit="1" customWidth="1"/>
    <col min="33" max="33" width="29.42578125" style="5" bestFit="1" customWidth="1"/>
    <col min="34" max="34" width="19.85546875" style="5" bestFit="1" customWidth="1"/>
    <col min="35" max="35" width="11.28515625" style="5" bestFit="1" customWidth="1"/>
    <col min="36" max="36" width="5.28515625" style="5" bestFit="1" customWidth="1"/>
    <col min="37" max="37" width="6.85546875" style="5" bestFit="1" customWidth="1"/>
    <col min="38" max="38" width="9.140625" style="5" bestFit="1" customWidth="1"/>
    <col min="39" max="39" width="11.140625" style="5" bestFit="1" customWidth="1"/>
    <col min="40" max="40" width="11.7109375" style="5" bestFit="1" customWidth="1"/>
    <col min="41" max="41" width="5.85546875" style="5" bestFit="1" customWidth="1"/>
    <col min="42" max="42" width="10.42578125" style="5" bestFit="1" customWidth="1"/>
    <col min="43" max="43" width="11.85546875" style="5" bestFit="1" customWidth="1"/>
    <col min="44" max="44" width="13.28515625" style="5" bestFit="1" customWidth="1"/>
    <col min="45" max="45" width="12" style="5" bestFit="1" customWidth="1"/>
    <col min="46" max="46" width="10" style="5" bestFit="1" customWidth="1"/>
    <col min="47" max="47" width="19.85546875" style="5" bestFit="1" customWidth="1"/>
    <col min="48" max="48" width="15.5703125" style="5" bestFit="1" customWidth="1"/>
    <col min="49" max="49" width="12.28515625" style="5" bestFit="1" customWidth="1"/>
    <col min="50" max="50" width="13.140625" style="5" bestFit="1" customWidth="1"/>
    <col min="51" max="51" width="15.42578125" style="5" bestFit="1" customWidth="1"/>
    <col min="52" max="52" width="16" style="5" bestFit="1" customWidth="1"/>
    <col min="53" max="53" width="9" style="5" bestFit="1" customWidth="1"/>
    <col min="54" max="54" width="10.28515625" style="5" bestFit="1" customWidth="1"/>
    <col min="55" max="55" width="9.28515625" style="5" bestFit="1" customWidth="1"/>
    <col min="56" max="57" width="11.28515625" style="5" bestFit="1" customWidth="1"/>
    <col min="58" max="16384" width="9.140625" style="5"/>
  </cols>
  <sheetData>
    <row r="1" spans="1:57" s="4" customFormat="1" ht="38.25" x14ac:dyDescent="0.25">
      <c r="A1" s="1" t="s">
        <v>45</v>
      </c>
      <c r="B1" s="1" t="s">
        <v>46</v>
      </c>
      <c r="C1" s="1" t="s">
        <v>47</v>
      </c>
      <c r="D1" s="2" t="s">
        <v>53</v>
      </c>
      <c r="E1" s="2" t="s">
        <v>54</v>
      </c>
      <c r="F1" s="1" t="s">
        <v>55</v>
      </c>
      <c r="G1" s="9" t="s">
        <v>51</v>
      </c>
      <c r="H1" s="10" t="s">
        <v>52</v>
      </c>
      <c r="I1" s="9" t="s">
        <v>50</v>
      </c>
      <c r="J1" s="16" t="s">
        <v>48</v>
      </c>
      <c r="K1" s="16" t="s">
        <v>49</v>
      </c>
      <c r="L1" s="7"/>
      <c r="M1" s="3" t="s">
        <v>0</v>
      </c>
      <c r="N1" s="3" t="s">
        <v>1</v>
      </c>
      <c r="O1" s="3" t="s">
        <v>2</v>
      </c>
      <c r="P1" s="3" t="s">
        <v>3</v>
      </c>
      <c r="Q1" s="3" t="s">
        <v>4</v>
      </c>
      <c r="R1" s="3" t="s">
        <v>5</v>
      </c>
      <c r="S1" s="3" t="s">
        <v>6</v>
      </c>
      <c r="T1" s="3" t="s">
        <v>7</v>
      </c>
      <c r="U1" s="3" t="s">
        <v>8</v>
      </c>
      <c r="V1" s="3" t="s">
        <v>9</v>
      </c>
      <c r="W1" s="3" t="s">
        <v>10</v>
      </c>
      <c r="X1" s="3" t="s">
        <v>11</v>
      </c>
      <c r="Y1" s="3" t="s">
        <v>12</v>
      </c>
      <c r="Z1" s="3" t="s">
        <v>13</v>
      </c>
      <c r="AA1" s="3" t="s">
        <v>14</v>
      </c>
      <c r="AB1" s="3" t="s">
        <v>15</v>
      </c>
      <c r="AC1" s="3" t="s">
        <v>16</v>
      </c>
      <c r="AD1" s="3" t="s">
        <v>17</v>
      </c>
      <c r="AE1" s="3" t="s">
        <v>18</v>
      </c>
      <c r="AF1" s="3" t="s">
        <v>19</v>
      </c>
      <c r="AG1" s="3" t="s">
        <v>20</v>
      </c>
      <c r="AH1" s="3" t="s">
        <v>21</v>
      </c>
      <c r="AI1" s="3" t="s">
        <v>22</v>
      </c>
      <c r="AJ1" s="3" t="s">
        <v>23</v>
      </c>
      <c r="AK1" s="3" t="s">
        <v>24</v>
      </c>
      <c r="AL1" s="3" t="s">
        <v>25</v>
      </c>
      <c r="AM1" s="3" t="s">
        <v>26</v>
      </c>
      <c r="AN1" s="3" t="s">
        <v>27</v>
      </c>
      <c r="AO1" s="3" t="s">
        <v>28</v>
      </c>
      <c r="AP1" s="3" t="s">
        <v>29</v>
      </c>
      <c r="AQ1" s="3" t="s">
        <v>30</v>
      </c>
      <c r="AR1" s="3" t="s">
        <v>31</v>
      </c>
      <c r="AS1" s="3" t="s">
        <v>32</v>
      </c>
      <c r="AT1" s="3" t="s">
        <v>33</v>
      </c>
      <c r="AU1" s="3" t="s">
        <v>34</v>
      </c>
      <c r="AV1" s="3" t="s">
        <v>35</v>
      </c>
      <c r="AW1" s="3" t="s">
        <v>36</v>
      </c>
      <c r="AX1" s="3" t="s">
        <v>37</v>
      </c>
      <c r="AY1" s="3" t="s">
        <v>38</v>
      </c>
      <c r="AZ1" s="3" t="s">
        <v>39</v>
      </c>
      <c r="BA1" s="3" t="s">
        <v>40</v>
      </c>
      <c r="BB1" s="3" t="s">
        <v>41</v>
      </c>
      <c r="BC1" s="3" t="s">
        <v>42</v>
      </c>
      <c r="BD1" s="3" t="s">
        <v>43</v>
      </c>
      <c r="BE1" s="3" t="s">
        <v>44</v>
      </c>
    </row>
    <row r="2" spans="1:57" ht="15" x14ac:dyDescent="0.25">
      <c r="J2" t="s">
        <v>80</v>
      </c>
      <c r="K2" s="11" t="s">
        <v>60</v>
      </c>
      <c r="M2" t="s">
        <v>78</v>
      </c>
      <c r="N2" t="s">
        <v>69</v>
      </c>
      <c r="O2" t="s">
        <v>70</v>
      </c>
      <c r="P2" t="s">
        <v>71</v>
      </c>
      <c r="Q2" t="s">
        <v>72</v>
      </c>
      <c r="R2"/>
      <c r="S2"/>
      <c r="T2"/>
      <c r="U2" t="s">
        <v>73</v>
      </c>
      <c r="V2"/>
      <c r="W2"/>
      <c r="X2">
        <v>49426.97</v>
      </c>
      <c r="Y2">
        <v>49426.97</v>
      </c>
      <c r="Z2">
        <v>49426.97</v>
      </c>
      <c r="AA2">
        <v>3377.85</v>
      </c>
      <c r="AB2">
        <v>850</v>
      </c>
      <c r="AC2">
        <v>6000</v>
      </c>
      <c r="AD2" t="s">
        <v>74</v>
      </c>
      <c r="AE2"/>
      <c r="AF2"/>
      <c r="AG2"/>
      <c r="AH2" t="s">
        <v>75</v>
      </c>
      <c r="AI2" t="s">
        <v>76</v>
      </c>
      <c r="AJ2" s="14"/>
      <c r="AK2"/>
      <c r="AL2"/>
      <c r="AM2"/>
      <c r="AN2"/>
      <c r="AO2"/>
      <c r="AP2"/>
      <c r="AQ2"/>
      <c r="AR2"/>
      <c r="AS2"/>
      <c r="AT2"/>
      <c r="AU2" s="14"/>
      <c r="AV2" t="s">
        <v>77</v>
      </c>
    </row>
  </sheetData>
  <conditionalFormatting sqref="A1">
    <cfRule type="cellIs" dxfId="15" priority="12" operator="equal">
      <formula>"PULLED OUT"</formula>
    </cfRule>
    <cfRule type="cellIs" dxfId="14" priority="13" operator="equal">
      <formula>"ACTIVE"</formula>
    </cfRule>
  </conditionalFormatting>
  <conditionalFormatting sqref="B1">
    <cfRule type="cellIs" dxfId="13" priority="8" operator="equal">
      <formula>"CALL"</formula>
    </cfRule>
    <cfRule type="containsText" dxfId="12" priority="9" operator="containsText" text="CALL&#10;CHECKING">
      <formula>NOT(ISERROR(SEARCH("CALL
CHECKING",B1)))</formula>
    </cfRule>
    <cfRule type="containsText" dxfId="11" priority="10" operator="containsText" text="DNC&#10;CHECKING">
      <formula>NOT(ISERROR(SEARCH("DNC
CHECKING",B1)))</formula>
    </cfRule>
  </conditionalFormatting>
  <conditionalFormatting sqref="C1">
    <cfRule type="containsText" dxfId="10" priority="11" operator="containsText" text="FOR PROCESS">
      <formula>NOT(ISERROR(SEARCH("FOR PROCESS",C1)))</formula>
    </cfRule>
  </conditionalFormatting>
  <conditionalFormatting sqref="G1">
    <cfRule type="duplicateValues" dxfId="9" priority="7"/>
  </conditionalFormatting>
  <conditionalFormatting sqref="O2">
    <cfRule type="duplicateValues" dxfId="8" priority="5"/>
    <cfRule type="duplicateValues" dxfId="7" priority="6"/>
  </conditionalFormatting>
  <conditionalFormatting sqref="P2">
    <cfRule type="duplicateValues" dxfId="6" priority="4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9F8F8-E670-4ED7-BAEC-2135F0B485E1}">
  <dimension ref="A1:BE2"/>
  <sheetViews>
    <sheetView zoomScale="85" zoomScaleNormal="85" workbookViewId="0">
      <selection activeCell="K2" sqref="K2"/>
    </sheetView>
  </sheetViews>
  <sheetFormatPr defaultRowHeight="15" x14ac:dyDescent="0.25"/>
  <cols>
    <col min="1" max="2" width="12.42578125" style="14" bestFit="1" customWidth="1"/>
    <col min="3" max="3" width="16" style="14" bestFit="1" customWidth="1"/>
    <col min="4" max="4" width="14.42578125" style="14" bestFit="1" customWidth="1"/>
    <col min="5" max="6" width="15.42578125" style="14" bestFit="1" customWidth="1"/>
    <col min="7" max="7" width="9.42578125" style="14" bestFit="1" customWidth="1"/>
    <col min="8" max="8" width="11.7109375" style="14" bestFit="1" customWidth="1"/>
    <col min="9" max="9" width="13.28515625" style="14" bestFit="1" customWidth="1"/>
    <col min="10" max="10" width="1.42578125" style="15" customWidth="1"/>
    <col min="11" max="11" width="17.5703125" style="14" bestFit="1" customWidth="1"/>
    <col min="12" max="12" width="22.7109375" style="14" bestFit="1" customWidth="1"/>
    <col min="13" max="13" width="8.140625" style="14" bestFit="1" customWidth="1"/>
    <col min="14" max="14" width="10.28515625" style="14" bestFit="1" customWidth="1"/>
    <col min="15" max="15" width="12.28515625" style="14" bestFit="1" customWidth="1"/>
    <col min="16" max="16" width="8.5703125" style="14" bestFit="1" customWidth="1"/>
    <col min="17" max="17" width="3.28515625" style="14" bestFit="1" customWidth="1"/>
    <col min="18" max="18" width="8.7109375" style="14" bestFit="1" customWidth="1"/>
    <col min="19" max="19" width="24.7109375" style="14" bestFit="1" customWidth="1"/>
    <col min="20" max="20" width="8.85546875" style="14" bestFit="1" customWidth="1"/>
    <col min="21" max="21" width="4.28515625" style="14" bestFit="1" customWidth="1"/>
    <col min="22" max="24" width="9.28515625" style="14" bestFit="1" customWidth="1"/>
    <col min="25" max="25" width="8.140625" style="14" bestFit="1" customWidth="1"/>
    <col min="26" max="26" width="4.85546875" style="14" bestFit="1" customWidth="1"/>
    <col min="27" max="27" width="9" style="14" bestFit="1" customWidth="1"/>
    <col min="28" max="28" width="10.85546875" style="14" bestFit="1" customWidth="1"/>
    <col min="29" max="29" width="11.7109375" style="14" bestFit="1" customWidth="1"/>
    <col min="30" max="30" width="12.42578125" style="14" bestFit="1" customWidth="1"/>
    <col min="31" max="31" width="9.28515625" style="14" bestFit="1" customWidth="1"/>
    <col min="32" max="32" width="12.7109375" style="14" bestFit="1" customWidth="1"/>
    <col min="33" max="33" width="11.28515625" style="14" bestFit="1" customWidth="1"/>
    <col min="34" max="34" width="5.28515625" style="14" bestFit="1" customWidth="1"/>
    <col min="35" max="35" width="6.85546875" style="14" bestFit="1" customWidth="1"/>
    <col min="36" max="36" width="9.140625" style="14"/>
    <col min="37" max="37" width="11.140625" style="14" bestFit="1" customWidth="1"/>
    <col min="38" max="38" width="9.140625" style="14"/>
    <col min="39" max="39" width="5.85546875" style="14" bestFit="1" customWidth="1"/>
    <col min="40" max="40" width="8.42578125" style="14" bestFit="1" customWidth="1"/>
    <col min="41" max="41" width="8.85546875" style="14" bestFit="1" customWidth="1"/>
    <col min="42" max="42" width="9.140625" style="14"/>
    <col min="43" max="43" width="6.28515625" style="14" bestFit="1" customWidth="1"/>
    <col min="44" max="44" width="5.85546875" style="14" bestFit="1" customWidth="1"/>
    <col min="45" max="45" width="9" style="14" bestFit="1" customWidth="1"/>
    <col min="46" max="46" width="10.85546875" style="14" bestFit="1" customWidth="1"/>
    <col min="47" max="47" width="7.7109375" style="14" bestFit="1" customWidth="1"/>
    <col min="48" max="48" width="8.85546875" style="14" bestFit="1" customWidth="1"/>
    <col min="49" max="49" width="8.5703125" style="14" bestFit="1" customWidth="1"/>
    <col min="50" max="50" width="9.140625" style="14"/>
    <col min="51" max="51" width="9" style="14" bestFit="1" customWidth="1"/>
    <col min="52" max="52" width="8.7109375" style="14" bestFit="1" customWidth="1"/>
    <col min="53" max="53" width="8" style="14" bestFit="1" customWidth="1"/>
    <col min="54" max="54" width="6.5703125" style="14" bestFit="1" customWidth="1"/>
    <col min="55" max="55" width="8.7109375" style="14" bestFit="1" customWidth="1"/>
    <col min="56" max="56" width="2.42578125" style="15" customWidth="1"/>
    <col min="57" max="57" width="4.7109375" style="14" bestFit="1" customWidth="1"/>
    <col min="58" max="16384" width="9.140625" style="14"/>
  </cols>
  <sheetData>
    <row r="1" spans="1:57" s="13" customFormat="1" ht="51" x14ac:dyDescent="0.25">
      <c r="A1" s="6" t="s">
        <v>56</v>
      </c>
      <c r="B1" s="6" t="s">
        <v>57</v>
      </c>
      <c r="C1" s="6" t="s">
        <v>58</v>
      </c>
      <c r="D1" s="6" t="s">
        <v>48</v>
      </c>
      <c r="E1" s="6" t="s">
        <v>49</v>
      </c>
      <c r="F1" s="9" t="s">
        <v>50</v>
      </c>
      <c r="G1" s="9" t="s">
        <v>51</v>
      </c>
      <c r="H1" s="9" t="s">
        <v>52</v>
      </c>
      <c r="I1" s="9" t="s">
        <v>59</v>
      </c>
      <c r="J1" s="12"/>
      <c r="K1" s="3" t="s">
        <v>0</v>
      </c>
      <c r="L1" s="3" t="s">
        <v>1</v>
      </c>
      <c r="M1" s="3" t="s">
        <v>2</v>
      </c>
      <c r="N1" s="3" t="s">
        <v>3</v>
      </c>
      <c r="O1" s="3" t="s">
        <v>4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9</v>
      </c>
      <c r="U1" s="3" t="s">
        <v>10</v>
      </c>
      <c r="V1" s="3" t="s">
        <v>11</v>
      </c>
      <c r="W1" s="3" t="s">
        <v>12</v>
      </c>
      <c r="X1" s="3" t="s">
        <v>13</v>
      </c>
      <c r="Y1" s="3" t="s">
        <v>14</v>
      </c>
      <c r="Z1" s="3" t="s">
        <v>15</v>
      </c>
      <c r="AA1" s="3" t="s">
        <v>16</v>
      </c>
      <c r="AB1" s="3" t="s">
        <v>17</v>
      </c>
      <c r="AC1" s="3" t="s">
        <v>18</v>
      </c>
      <c r="AD1" s="3" t="s">
        <v>19</v>
      </c>
      <c r="AE1" s="3" t="s">
        <v>20</v>
      </c>
      <c r="AF1" s="3" t="s">
        <v>21</v>
      </c>
      <c r="AG1" s="3" t="s">
        <v>22</v>
      </c>
      <c r="AH1" s="3" t="s">
        <v>23</v>
      </c>
      <c r="AI1" s="3" t="s">
        <v>24</v>
      </c>
      <c r="AJ1" s="3" t="s">
        <v>25</v>
      </c>
      <c r="AK1" s="3" t="s">
        <v>26</v>
      </c>
      <c r="AL1" s="3" t="s">
        <v>27</v>
      </c>
      <c r="AM1" s="3" t="s">
        <v>28</v>
      </c>
      <c r="AN1" s="3" t="s">
        <v>29</v>
      </c>
      <c r="AO1" s="3" t="s">
        <v>30</v>
      </c>
      <c r="AP1" s="3" t="s">
        <v>31</v>
      </c>
      <c r="AQ1" s="3" t="s">
        <v>32</v>
      </c>
      <c r="AR1" s="3" t="s">
        <v>33</v>
      </c>
      <c r="AS1" s="3" t="s">
        <v>34</v>
      </c>
      <c r="AT1" s="3" t="s">
        <v>35</v>
      </c>
      <c r="AU1" s="3" t="s">
        <v>36</v>
      </c>
      <c r="AV1" s="3" t="s">
        <v>37</v>
      </c>
      <c r="AW1" s="3" t="s">
        <v>38</v>
      </c>
      <c r="AX1" s="3" t="s">
        <v>39</v>
      </c>
      <c r="AY1" s="3" t="s">
        <v>40</v>
      </c>
      <c r="AZ1" s="3" t="s">
        <v>41</v>
      </c>
      <c r="BA1" s="3" t="s">
        <v>42</v>
      </c>
      <c r="BB1" s="3" t="s">
        <v>43</v>
      </c>
      <c r="BC1" s="3" t="s">
        <v>44</v>
      </c>
      <c r="BD1" s="12"/>
      <c r="BE1" s="13" t="s">
        <v>61</v>
      </c>
    </row>
    <row r="2" spans="1:57" x14ac:dyDescent="0.25">
      <c r="A2" s="20">
        <v>46020</v>
      </c>
      <c r="B2" s="14" t="str">
        <f>TEXT(A2,"MMM")</f>
        <v>Dec</v>
      </c>
      <c r="C2" s="14" t="s">
        <v>79</v>
      </c>
      <c r="D2" t="s">
        <v>80</v>
      </c>
      <c r="E2" s="19" t="s">
        <v>60</v>
      </c>
      <c r="K2" t="s">
        <v>78</v>
      </c>
      <c r="L2" t="s">
        <v>69</v>
      </c>
      <c r="M2" t="s">
        <v>70</v>
      </c>
      <c r="N2" t="s">
        <v>71</v>
      </c>
      <c r="O2" t="s">
        <v>72</v>
      </c>
      <c r="P2"/>
      <c r="Q2"/>
      <c r="R2"/>
      <c r="S2" t="s">
        <v>73</v>
      </c>
      <c r="T2"/>
      <c r="U2"/>
      <c r="V2">
        <v>49426.97</v>
      </c>
      <c r="W2">
        <v>49426.97</v>
      </c>
      <c r="X2">
        <v>49426.97</v>
      </c>
      <c r="Y2">
        <v>3377.85</v>
      </c>
      <c r="Z2">
        <v>850</v>
      </c>
      <c r="AA2">
        <v>6000</v>
      </c>
      <c r="AB2" t="s">
        <v>74</v>
      </c>
      <c r="AC2"/>
      <c r="AD2"/>
      <c r="AE2"/>
      <c r="AF2" t="s">
        <v>75</v>
      </c>
      <c r="AG2" t="s">
        <v>76</v>
      </c>
      <c r="AI2"/>
      <c r="AJ2"/>
      <c r="AK2"/>
      <c r="AL2"/>
      <c r="AM2"/>
      <c r="AN2"/>
      <c r="AO2"/>
      <c r="AP2"/>
      <c r="AQ2"/>
      <c r="AR2"/>
      <c r="AT2" t="s">
        <v>77</v>
      </c>
    </row>
  </sheetData>
  <conditionalFormatting sqref="F1:I1">
    <cfRule type="duplicateValues" dxfId="5" priority="4"/>
  </conditionalFormatting>
  <conditionalFormatting sqref="M2">
    <cfRule type="duplicateValues" dxfId="4" priority="2"/>
    <cfRule type="duplicateValues" dxfId="3" priority="3"/>
  </conditionalFormatting>
  <conditionalFormatting sqref="N2">
    <cfRule type="duplicateValues" dxfId="2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FC450-A827-449D-8962-4226322D1D5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E20A1-A494-4BD4-8B7B-373F69AC6706}">
  <dimension ref="A1:E2"/>
  <sheetViews>
    <sheetView workbookViewId="0">
      <selection activeCell="E3" sqref="E3"/>
    </sheetView>
  </sheetViews>
  <sheetFormatPr defaultRowHeight="15" x14ac:dyDescent="0.25"/>
  <cols>
    <col min="1" max="1" width="23.28515625" bestFit="1" customWidth="1"/>
    <col min="2" max="2" width="16.42578125" bestFit="1" customWidth="1"/>
    <col min="3" max="3" width="17.28515625" bestFit="1" customWidth="1"/>
    <col min="4" max="4" width="24.7109375" bestFit="1" customWidth="1"/>
    <col min="5" max="5" width="12.5703125" bestFit="1" customWidth="1"/>
  </cols>
  <sheetData>
    <row r="1" spans="1:5" x14ac:dyDescent="0.25">
      <c r="A1" s="17" t="s">
        <v>50</v>
      </c>
      <c r="B1" s="17" t="s">
        <v>51</v>
      </c>
      <c r="C1" s="17" t="s">
        <v>0</v>
      </c>
      <c r="D1" s="17" t="s">
        <v>1</v>
      </c>
      <c r="E1" s="18" t="s">
        <v>62</v>
      </c>
    </row>
    <row r="2" spans="1:5" x14ac:dyDescent="0.25">
      <c r="A2" t="s">
        <v>66</v>
      </c>
      <c r="B2" t="s">
        <v>65</v>
      </c>
      <c r="C2" t="s">
        <v>64</v>
      </c>
      <c r="D2" t="s">
        <v>67</v>
      </c>
      <c r="E2" t="s">
        <v>63</v>
      </c>
    </row>
  </sheetData>
  <conditionalFormatting sqref="B1">
    <cfRule type="duplicateValues" dxfId="1" priority="2"/>
  </conditionalFormatting>
  <conditionalFormatting sqref="B2">
    <cfRule type="duplicateValues" dxfId="0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36278-830E-466C-A1EB-6A9AA96B27B3}">
  <dimension ref="A1:C4"/>
  <sheetViews>
    <sheetView workbookViewId="0">
      <selection activeCell="E20" sqref="E20"/>
    </sheetView>
  </sheetViews>
  <sheetFormatPr defaultRowHeight="15" x14ac:dyDescent="0.25"/>
  <cols>
    <col min="1" max="1" width="17.28515625" bestFit="1" customWidth="1"/>
    <col min="2" max="2" width="3" bestFit="1" customWidth="1"/>
    <col min="3" max="3" width="32.42578125" bestFit="1" customWidth="1"/>
  </cols>
  <sheetData>
    <row r="1" spans="1:3" x14ac:dyDescent="0.25">
      <c r="A1" s="23" t="s">
        <v>83</v>
      </c>
      <c r="B1">
        <f>LEN(A1)</f>
        <v>16</v>
      </c>
    </row>
    <row r="2" spans="1:3" x14ac:dyDescent="0.25">
      <c r="A2" s="21" t="s">
        <v>64</v>
      </c>
      <c r="B2">
        <f t="shared" ref="B2:B3" si="0">LEN(A2)</f>
        <v>16</v>
      </c>
      <c r="C2" t="s">
        <v>81</v>
      </c>
    </row>
    <row r="3" spans="1:3" x14ac:dyDescent="0.25">
      <c r="A3" s="22" t="s">
        <v>68</v>
      </c>
      <c r="B3">
        <f t="shared" si="0"/>
        <v>16</v>
      </c>
      <c r="C3" t="s">
        <v>82</v>
      </c>
    </row>
    <row r="4" spans="1:3" x14ac:dyDescent="0.25">
      <c r="A4" t="s">
        <v>78</v>
      </c>
      <c r="B4">
        <f>LEN(A4)</f>
        <v>16</v>
      </c>
      <c r="C4" t="s">
        <v>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F32D4-15CC-4696-9137-2C647235239D}">
  <dimension ref="A1:BA1"/>
  <sheetViews>
    <sheetView tabSelected="1" workbookViewId="0">
      <selection activeCell="L13" sqref="L13"/>
    </sheetView>
  </sheetViews>
  <sheetFormatPr defaultRowHeight="15" x14ac:dyDescent="0.25"/>
  <cols>
    <col min="1" max="1" width="22.140625" bestFit="1" customWidth="1"/>
    <col min="2" max="2" width="7.28515625" bestFit="1" customWidth="1"/>
    <col min="3" max="3" width="6.140625" bestFit="1" customWidth="1"/>
    <col min="4" max="4" width="10.42578125" bestFit="1" customWidth="1"/>
    <col min="5" max="5" width="13.7109375" bestFit="1" customWidth="1"/>
    <col min="6" max="6" width="9.5703125" bestFit="1" customWidth="1"/>
    <col min="7" max="7" width="8.7109375" bestFit="1" customWidth="1"/>
    <col min="8" max="8" width="7.5703125" bestFit="1" customWidth="1"/>
    <col min="9" max="9" width="8.5703125" bestFit="1" customWidth="1"/>
    <col min="10" max="10" width="12.28515625" bestFit="1" customWidth="1"/>
    <col min="11" max="11" width="4.85546875" bestFit="1" customWidth="1"/>
    <col min="12" max="12" width="6.5703125" bestFit="1" customWidth="1"/>
    <col min="13" max="13" width="11.7109375" bestFit="1" customWidth="1"/>
    <col min="14" max="14" width="16.5703125" bestFit="1" customWidth="1"/>
    <col min="15" max="15" width="3.28515625" bestFit="1" customWidth="1"/>
    <col min="16" max="16" width="10" bestFit="1" customWidth="1"/>
    <col min="17" max="17" width="6.5703125" bestFit="1" customWidth="1"/>
    <col min="18" max="18" width="8.85546875" bestFit="1" customWidth="1"/>
    <col min="19" max="19" width="4.28515625" bestFit="1" customWidth="1"/>
    <col min="20" max="20" width="3.7109375" bestFit="1" customWidth="1"/>
    <col min="21" max="22" width="5" bestFit="1" customWidth="1"/>
    <col min="23" max="23" width="5.140625" bestFit="1" customWidth="1"/>
    <col min="24" max="24" width="4.85546875" bestFit="1" customWidth="1"/>
    <col min="25" max="25" width="24" bestFit="1" customWidth="1"/>
    <col min="26" max="26" width="21.85546875" bestFit="1" customWidth="1"/>
    <col min="27" max="27" width="22.28515625" bestFit="1" customWidth="1"/>
    <col min="28" max="28" width="14.85546875" bestFit="1" customWidth="1"/>
    <col min="29" max="29" width="29.42578125" bestFit="1" customWidth="1"/>
    <col min="30" max="30" width="19.85546875" bestFit="1" customWidth="1"/>
    <col min="31" max="31" width="11.28515625" bestFit="1" customWidth="1"/>
    <col min="32" max="32" width="5.28515625" bestFit="1" customWidth="1"/>
    <col min="33" max="33" width="6.85546875" bestFit="1" customWidth="1"/>
    <col min="35" max="35" width="11.140625" bestFit="1" customWidth="1"/>
    <col min="36" max="36" width="11.7109375" bestFit="1" customWidth="1"/>
    <col min="37" max="37" width="5.85546875" bestFit="1" customWidth="1"/>
    <col min="38" max="38" width="10.42578125" bestFit="1" customWidth="1"/>
    <col min="39" max="39" width="11.85546875" bestFit="1" customWidth="1"/>
    <col min="40" max="40" width="13.28515625" bestFit="1" customWidth="1"/>
    <col min="41" max="41" width="12" bestFit="1" customWidth="1"/>
    <col min="42" max="42" width="10" bestFit="1" customWidth="1"/>
    <col min="43" max="43" width="19.85546875" bestFit="1" customWidth="1"/>
    <col min="44" max="44" width="15.5703125" bestFit="1" customWidth="1"/>
    <col min="45" max="45" width="12.28515625" bestFit="1" customWidth="1"/>
    <col min="46" max="46" width="13.140625" bestFit="1" customWidth="1"/>
    <col min="47" max="47" width="15.42578125" bestFit="1" customWidth="1"/>
    <col min="48" max="48" width="16" bestFit="1" customWidth="1"/>
    <col min="49" max="49" width="9" bestFit="1" customWidth="1"/>
    <col min="50" max="50" width="10.28515625" bestFit="1" customWidth="1"/>
    <col min="51" max="51" width="9.28515625" bestFit="1" customWidth="1"/>
    <col min="52" max="53" width="11.28515625" bestFit="1" customWidth="1"/>
  </cols>
  <sheetData>
    <row r="1" spans="1:53" x14ac:dyDescent="0.25">
      <c r="A1" s="24" t="s">
        <v>85</v>
      </c>
      <c r="B1" s="24" t="s">
        <v>86</v>
      </c>
      <c r="C1" s="24" t="s">
        <v>87</v>
      </c>
      <c r="D1" s="24" t="s">
        <v>48</v>
      </c>
      <c r="E1" s="24" t="s">
        <v>88</v>
      </c>
      <c r="F1" s="24" t="s">
        <v>89</v>
      </c>
      <c r="G1" s="24" t="s">
        <v>51</v>
      </c>
      <c r="H1" s="25" t="s">
        <v>62</v>
      </c>
      <c r="I1" s="26" t="s">
        <v>0</v>
      </c>
      <c r="J1" s="26" t="s">
        <v>1</v>
      </c>
      <c r="K1" s="26" t="s">
        <v>2</v>
      </c>
      <c r="L1" s="26" t="s">
        <v>3</v>
      </c>
      <c r="M1" s="26" t="s">
        <v>4</v>
      </c>
      <c r="N1" s="26" t="s">
        <v>5</v>
      </c>
      <c r="O1" s="26" t="s">
        <v>6</v>
      </c>
      <c r="P1" s="26" t="s">
        <v>7</v>
      </c>
      <c r="Q1" s="26" t="s">
        <v>8</v>
      </c>
      <c r="R1" s="26" t="s">
        <v>9</v>
      </c>
      <c r="S1" s="26" t="s">
        <v>10</v>
      </c>
      <c r="T1" s="26" t="s">
        <v>11</v>
      </c>
      <c r="U1" s="26" t="s">
        <v>12</v>
      </c>
      <c r="V1" s="26" t="s">
        <v>13</v>
      </c>
      <c r="W1" s="26" t="s">
        <v>14</v>
      </c>
      <c r="X1" s="26" t="s">
        <v>15</v>
      </c>
      <c r="Y1" s="26" t="s">
        <v>16</v>
      </c>
      <c r="Z1" s="26" t="s">
        <v>17</v>
      </c>
      <c r="AA1" s="26" t="s">
        <v>18</v>
      </c>
      <c r="AB1" s="26" t="s">
        <v>19</v>
      </c>
      <c r="AC1" s="26" t="s">
        <v>20</v>
      </c>
      <c r="AD1" s="26" t="s">
        <v>21</v>
      </c>
      <c r="AE1" s="26" t="s">
        <v>22</v>
      </c>
      <c r="AF1" s="26" t="s">
        <v>23</v>
      </c>
      <c r="AG1" s="26" t="s">
        <v>24</v>
      </c>
      <c r="AH1" s="26" t="s">
        <v>25</v>
      </c>
      <c r="AI1" s="26" t="s">
        <v>26</v>
      </c>
      <c r="AJ1" s="26" t="s">
        <v>27</v>
      </c>
      <c r="AK1" s="26" t="s">
        <v>28</v>
      </c>
      <c r="AL1" s="26" t="s">
        <v>29</v>
      </c>
      <c r="AM1" s="26" t="s">
        <v>30</v>
      </c>
      <c r="AN1" s="26" t="s">
        <v>31</v>
      </c>
      <c r="AO1" s="26" t="s">
        <v>32</v>
      </c>
      <c r="AP1" s="26" t="s">
        <v>33</v>
      </c>
      <c r="AQ1" s="26" t="s">
        <v>34</v>
      </c>
      <c r="AR1" s="26" t="s">
        <v>35</v>
      </c>
      <c r="AS1" s="26" t="s">
        <v>36</v>
      </c>
      <c r="AT1" s="26" t="s">
        <v>37</v>
      </c>
      <c r="AU1" s="26" t="s">
        <v>38</v>
      </c>
      <c r="AV1" s="26" t="s">
        <v>39</v>
      </c>
      <c r="AW1" s="26" t="s">
        <v>40</v>
      </c>
      <c r="AX1" s="26" t="s">
        <v>41</v>
      </c>
      <c r="AY1" s="26" t="s">
        <v>42</v>
      </c>
      <c r="AZ1" s="26" t="s">
        <v>43</v>
      </c>
      <c r="BA1" s="26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ACTIVE</vt:lpstr>
      <vt:lpstr>PULLED_OUT</vt:lpstr>
      <vt:lpstr>Sheet2</vt:lpstr>
      <vt:lpstr>DNC</vt:lpstr>
      <vt:lpstr>S1</vt:lpstr>
      <vt:lpstr>OVERALL_CYCLE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 Madrid and Associates</dc:creator>
  <cp:lastModifiedBy>SP Madrid and Associates</cp:lastModifiedBy>
  <dcterms:created xsi:type="dcterms:W3CDTF">2026-04-17T01:53:21Z</dcterms:created>
  <dcterms:modified xsi:type="dcterms:W3CDTF">2026-04-25T07:49:11Z</dcterms:modified>
</cp:coreProperties>
</file>